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0000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B579A"/>
        <bgColor rgb="002B579A"/>
      </patternFill>
    </fill>
    <fill>
      <patternFill patternType="solid">
        <fgColor rgb="001565C0"/>
      </patternFill>
    </fill>
    <fill>
      <patternFill patternType="solid">
        <fgColor rgb="00C628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  <col width="16" customWidth="1" min="5" max="5"/>
    <col width="18" customWidth="1" min="6" max="6"/>
    <col width="14" customWidth="1" min="7" max="7"/>
  </cols>
  <sheetData>
    <row r="1">
      <c r="A1" s="1" t="inlineStr">
        <is>
          <t>証券コード</t>
        </is>
      </c>
      <c r="B1" s="1" t="inlineStr">
        <is>
          <t>銘柄名</t>
        </is>
      </c>
      <c r="C1" s="1" t="inlineStr">
        <is>
          <t>現在値</t>
        </is>
      </c>
      <c r="D1" s="1" t="inlineStr">
        <is>
          <t>前日比</t>
        </is>
      </c>
      <c r="E1" s="1" t="inlineStr">
        <is>
          <t>出来高</t>
        </is>
      </c>
      <c r="F1" s="1" t="inlineStr">
        <is>
          <t>時価総額</t>
        </is>
      </c>
      <c r="G1" s="1" t="inlineStr">
        <is>
          <t>貸借区分</t>
        </is>
      </c>
    </row>
    <row r="2">
      <c r="A2" t="inlineStr">
        <is>
          <t>6920</t>
        </is>
      </c>
      <c r="B2">
        <f>RssMarket("6920.T","銘柄名称")</f>
        <v/>
      </c>
      <c r="C2">
        <f>RssMarket("6920.T","現在値")</f>
        <v/>
      </c>
      <c r="D2">
        <f>RssMarket("6920.T","前日比")</f>
        <v/>
      </c>
      <c r="E2">
        <f>RssMarket("6920.T","出来高")</f>
        <v/>
      </c>
      <c r="F2">
        <f>RssMarket("6920.T","時価総額")</f>
        <v/>
      </c>
      <c r="G2">
        <f>RssMarket("6920.T","貸借区分")</f>
        <v/>
      </c>
    </row>
    <row r="3">
      <c r="A3" t="inlineStr">
        <is>
          <t>3856</t>
        </is>
      </c>
      <c r="B3">
        <f>RssMarket("3856.T","銘柄名称")</f>
        <v/>
      </c>
      <c r="C3">
        <f>RssMarket("3856.T","現在値")</f>
        <v/>
      </c>
      <c r="D3">
        <f>RssMarket("3856.T","前日比")</f>
        <v/>
      </c>
      <c r="E3">
        <f>RssMarket("3856.T","出来高")</f>
        <v/>
      </c>
      <c r="F3">
        <f>RssMarket("3856.T","時価総額")</f>
        <v/>
      </c>
      <c r="G3">
        <f>RssMarket("3856.T","貸借区分")</f>
        <v/>
      </c>
    </row>
    <row r="5">
      <c r="A5" s="2" t="inlineStr">
        <is>
          <t>【使い方】</t>
        </is>
      </c>
    </row>
    <row r="6">
      <c r="A6" t="inlineStr">
        <is>
          <t>1. MarketSpeed II を起動してログイン</t>
        </is>
      </c>
    </row>
    <row r="7">
      <c r="A7" t="inlineStr">
        <is>
          <t>2. このファイルをExcelで開く</t>
        </is>
      </c>
    </row>
    <row r="8">
      <c r="A8" t="inlineStr">
        <is>
          <t>3. B〜G列のRSS数式が自動でリアルタイム値に変わる</t>
        </is>
      </c>
    </row>
    <row r="9">
      <c r="A9" t="inlineStr">
        <is>
          <t>4. 銘柄追加: A列に証券コードを入力 → B〜G列の数式をコピペ</t>
        </is>
      </c>
    </row>
    <row r="10">
      <c r="A10" t="inlineStr">
        <is>
          <t>※ RSS数式はMarketSpeed IIが起動中のみ動作します</t>
        </is>
      </c>
    </row>
  </sheetData>
  <mergeCells count="5">
    <mergeCell ref="A9:G9"/>
    <mergeCell ref="A8:G8"/>
    <mergeCell ref="A6:G6"/>
    <mergeCell ref="A7:G7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3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3" t="inlineStr">
        <is>
          <t>証券コード</t>
        </is>
      </c>
      <c r="B1" s="4" t="inlineStr">
        <is>
          <t>売10価格</t>
        </is>
      </c>
      <c r="C1" s="4" t="inlineStr">
        <is>
          <t>売10数量</t>
        </is>
      </c>
      <c r="D1" s="4" t="inlineStr">
        <is>
          <t>売9価格</t>
        </is>
      </c>
      <c r="E1" s="4" t="inlineStr">
        <is>
          <t>売9数量</t>
        </is>
      </c>
      <c r="F1" s="4" t="inlineStr">
        <is>
          <t>売8価格</t>
        </is>
      </c>
      <c r="G1" s="4" t="inlineStr">
        <is>
          <t>売8数量</t>
        </is>
      </c>
      <c r="H1" s="4" t="inlineStr">
        <is>
          <t>売7価格</t>
        </is>
      </c>
      <c r="I1" s="4" t="inlineStr">
        <is>
          <t>売7数量</t>
        </is>
      </c>
      <c r="J1" s="4" t="inlineStr">
        <is>
          <t>売6価格</t>
        </is>
      </c>
      <c r="K1" s="4" t="inlineStr">
        <is>
          <t>売6数量</t>
        </is>
      </c>
      <c r="L1" s="4" t="inlineStr">
        <is>
          <t>売5価格</t>
        </is>
      </c>
      <c r="M1" s="4" t="inlineStr">
        <is>
          <t>売5数量</t>
        </is>
      </c>
      <c r="N1" s="4" t="inlineStr">
        <is>
          <t>売4価格</t>
        </is>
      </c>
      <c r="O1" s="4" t="inlineStr">
        <is>
          <t>売4数量</t>
        </is>
      </c>
      <c r="P1" s="4" t="inlineStr">
        <is>
          <t>売3価格</t>
        </is>
      </c>
      <c r="Q1" s="4" t="inlineStr">
        <is>
          <t>売3数量</t>
        </is>
      </c>
      <c r="R1" s="4" t="inlineStr">
        <is>
          <t>売2価格</t>
        </is>
      </c>
      <c r="S1" s="4" t="inlineStr">
        <is>
          <t>売2数量</t>
        </is>
      </c>
      <c r="T1" s="4" t="inlineStr">
        <is>
          <t>売1価格</t>
        </is>
      </c>
      <c r="U1" s="4" t="inlineStr">
        <is>
          <t>売1数量</t>
        </is>
      </c>
      <c r="V1" s="5" t="inlineStr">
        <is>
          <t>買1価格</t>
        </is>
      </c>
      <c r="W1" s="5" t="inlineStr">
        <is>
          <t>買1数量</t>
        </is>
      </c>
      <c r="X1" s="5" t="inlineStr">
        <is>
          <t>買2価格</t>
        </is>
      </c>
      <c r="Y1" s="5" t="inlineStr">
        <is>
          <t>買2数量</t>
        </is>
      </c>
      <c r="Z1" s="5" t="inlineStr">
        <is>
          <t>買3価格</t>
        </is>
      </c>
      <c r="AA1" s="5" t="inlineStr">
        <is>
          <t>買3数量</t>
        </is>
      </c>
      <c r="AB1" s="5" t="inlineStr">
        <is>
          <t>買4価格</t>
        </is>
      </c>
      <c r="AC1" s="5" t="inlineStr">
        <is>
          <t>買4数量</t>
        </is>
      </c>
      <c r="AD1" s="5" t="inlineStr">
        <is>
          <t>買5価格</t>
        </is>
      </c>
      <c r="AE1" s="5" t="inlineStr">
        <is>
          <t>買5数量</t>
        </is>
      </c>
      <c r="AF1" s="5" t="inlineStr">
        <is>
          <t>買6価格</t>
        </is>
      </c>
      <c r="AG1" s="5" t="inlineStr">
        <is>
          <t>買6数量</t>
        </is>
      </c>
      <c r="AH1" s="5" t="inlineStr">
        <is>
          <t>買7価格</t>
        </is>
      </c>
      <c r="AI1" s="5" t="inlineStr">
        <is>
          <t>買7数量</t>
        </is>
      </c>
      <c r="AJ1" s="5" t="inlineStr">
        <is>
          <t>買8価格</t>
        </is>
      </c>
      <c r="AK1" s="5" t="inlineStr">
        <is>
          <t>買8数量</t>
        </is>
      </c>
      <c r="AL1" s="5" t="inlineStr">
        <is>
          <t>買9価格</t>
        </is>
      </c>
      <c r="AM1" s="5" t="inlineStr">
        <is>
          <t>買9数量</t>
        </is>
      </c>
      <c r="AN1" s="5" t="inlineStr">
        <is>
          <t>買10価格</t>
        </is>
      </c>
      <c r="AO1" s="5" t="inlineStr">
        <is>
          <t>買10数量</t>
        </is>
      </c>
    </row>
    <row r="2">
      <c r="A2" t="inlineStr">
        <is>
          <t>6920</t>
        </is>
      </c>
      <c r="B2">
        <f>RssMarket("6920.T","売気配値10")</f>
        <v/>
      </c>
      <c r="C2">
        <f>RssMarket("6920.T","売気配量10")</f>
        <v/>
      </c>
      <c r="D2">
        <f>RssMarket("6920.T","売気配値9")</f>
        <v/>
      </c>
      <c r="E2">
        <f>RssMarket("6920.T","売気配量9")</f>
        <v/>
      </c>
      <c r="F2">
        <f>RssMarket("6920.T","売気配値8")</f>
        <v/>
      </c>
      <c r="G2">
        <f>RssMarket("6920.T","売気配量8")</f>
        <v/>
      </c>
      <c r="H2">
        <f>RssMarket("6920.T","売気配値7")</f>
        <v/>
      </c>
      <c r="I2">
        <f>RssMarket("6920.T","売気配量7")</f>
        <v/>
      </c>
      <c r="J2">
        <f>RssMarket("6920.T","売気配値6")</f>
        <v/>
      </c>
      <c r="K2">
        <f>RssMarket("6920.T","売気配量6")</f>
        <v/>
      </c>
      <c r="L2">
        <f>RssMarket("6920.T","売気配値5")</f>
        <v/>
      </c>
      <c r="M2">
        <f>RssMarket("6920.T","売気配量5")</f>
        <v/>
      </c>
      <c r="N2">
        <f>RssMarket("6920.T","売気配値4")</f>
        <v/>
      </c>
      <c r="O2">
        <f>RssMarket("6920.T","売気配量4")</f>
        <v/>
      </c>
      <c r="P2">
        <f>RssMarket("6920.T","売気配値3")</f>
        <v/>
      </c>
      <c r="Q2">
        <f>RssMarket("6920.T","売気配量3")</f>
        <v/>
      </c>
      <c r="R2">
        <f>RssMarket("6920.T","売気配値2")</f>
        <v/>
      </c>
      <c r="S2">
        <f>RssMarket("6920.T","売気配量2")</f>
        <v/>
      </c>
      <c r="T2">
        <f>RssMarket("6920.T","売気配値1")</f>
        <v/>
      </c>
      <c r="U2">
        <f>RssMarket("6920.T","売気配量1")</f>
        <v/>
      </c>
      <c r="V2">
        <f>RssMarket("6920.T","買気配値1")</f>
        <v/>
      </c>
      <c r="W2">
        <f>RssMarket("6920.T","買気配量1")</f>
        <v/>
      </c>
      <c r="X2">
        <f>RssMarket("6920.T","買気配値2")</f>
        <v/>
      </c>
      <c r="Y2">
        <f>RssMarket("6920.T","買気配量2")</f>
        <v/>
      </c>
      <c r="Z2">
        <f>RssMarket("6920.T","買気配値3")</f>
        <v/>
      </c>
      <c r="AA2">
        <f>RssMarket("6920.T","買気配量3")</f>
        <v/>
      </c>
      <c r="AB2">
        <f>RssMarket("6920.T","買気配値4")</f>
        <v/>
      </c>
      <c r="AC2">
        <f>RssMarket("6920.T","買気配量4")</f>
        <v/>
      </c>
      <c r="AD2">
        <f>RssMarket("6920.T","買気配値5")</f>
        <v/>
      </c>
      <c r="AE2">
        <f>RssMarket("6920.T","買気配量5")</f>
        <v/>
      </c>
      <c r="AF2">
        <f>RssMarket("6920.T","買気配値6")</f>
        <v/>
      </c>
      <c r="AG2">
        <f>RssMarket("6920.T","買気配量6")</f>
        <v/>
      </c>
      <c r="AH2">
        <f>RssMarket("6920.T","買気配値7")</f>
        <v/>
      </c>
      <c r="AI2">
        <f>RssMarket("6920.T","買気配量7")</f>
        <v/>
      </c>
      <c r="AJ2">
        <f>RssMarket("6920.T","買気配値8")</f>
        <v/>
      </c>
      <c r="AK2">
        <f>RssMarket("6920.T","買気配量8")</f>
        <v/>
      </c>
      <c r="AL2">
        <f>RssMarket("6920.T","買気配値9")</f>
        <v/>
      </c>
      <c r="AM2">
        <f>RssMarket("6920.T","買気配量9")</f>
        <v/>
      </c>
      <c r="AN2">
        <f>RssMarket("6920.T","買気配値10")</f>
        <v/>
      </c>
      <c r="AO2">
        <f>RssMarket("6920.T","買気配量10")</f>
        <v/>
      </c>
    </row>
    <row r="3">
      <c r="A3" t="inlineStr">
        <is>
          <t>3856</t>
        </is>
      </c>
      <c r="B3">
        <f>RssMarket("3856.T","売気配値10")</f>
        <v/>
      </c>
      <c r="C3">
        <f>RssMarket("3856.T","売気配量10")</f>
        <v/>
      </c>
      <c r="D3">
        <f>RssMarket("3856.T","売気配値9")</f>
        <v/>
      </c>
      <c r="E3">
        <f>RssMarket("3856.T","売気配量9")</f>
        <v/>
      </c>
      <c r="F3">
        <f>RssMarket("3856.T","売気配値8")</f>
        <v/>
      </c>
      <c r="G3">
        <f>RssMarket("3856.T","売気配量8")</f>
        <v/>
      </c>
      <c r="H3">
        <f>RssMarket("3856.T","売気配値7")</f>
        <v/>
      </c>
      <c r="I3">
        <f>RssMarket("3856.T","売気配量7")</f>
        <v/>
      </c>
      <c r="J3">
        <f>RssMarket("3856.T","売気配値6")</f>
        <v/>
      </c>
      <c r="K3">
        <f>RssMarket("3856.T","売気配量6")</f>
        <v/>
      </c>
      <c r="L3">
        <f>RssMarket("3856.T","売気配値5")</f>
        <v/>
      </c>
      <c r="M3">
        <f>RssMarket("3856.T","売気配量5")</f>
        <v/>
      </c>
      <c r="N3">
        <f>RssMarket("3856.T","売気配値4")</f>
        <v/>
      </c>
      <c r="O3">
        <f>RssMarket("3856.T","売気配量4")</f>
        <v/>
      </c>
      <c r="P3">
        <f>RssMarket("3856.T","売気配値3")</f>
        <v/>
      </c>
      <c r="Q3">
        <f>RssMarket("3856.T","売気配量3")</f>
        <v/>
      </c>
      <c r="R3">
        <f>RssMarket("3856.T","売気配値2")</f>
        <v/>
      </c>
      <c r="S3">
        <f>RssMarket("3856.T","売気配量2")</f>
        <v/>
      </c>
      <c r="T3">
        <f>RssMarket("3856.T","売気配値1")</f>
        <v/>
      </c>
      <c r="U3">
        <f>RssMarket("3856.T","売気配量1")</f>
        <v/>
      </c>
      <c r="V3">
        <f>RssMarket("3856.T","買気配値1")</f>
        <v/>
      </c>
      <c r="W3">
        <f>RssMarket("3856.T","買気配量1")</f>
        <v/>
      </c>
      <c r="X3">
        <f>RssMarket("3856.T","買気配値2")</f>
        <v/>
      </c>
      <c r="Y3">
        <f>RssMarket("3856.T","買気配量2")</f>
        <v/>
      </c>
      <c r="Z3">
        <f>RssMarket("3856.T","買気配値3")</f>
        <v/>
      </c>
      <c r="AA3">
        <f>RssMarket("3856.T","買気配量3")</f>
        <v/>
      </c>
      <c r="AB3">
        <f>RssMarket("3856.T","買気配値4")</f>
        <v/>
      </c>
      <c r="AC3">
        <f>RssMarket("3856.T","買気配量4")</f>
        <v/>
      </c>
      <c r="AD3">
        <f>RssMarket("3856.T","買気配値5")</f>
        <v/>
      </c>
      <c r="AE3">
        <f>RssMarket("3856.T","買気配量5")</f>
        <v/>
      </c>
      <c r="AF3">
        <f>RssMarket("3856.T","買気配値6")</f>
        <v/>
      </c>
      <c r="AG3">
        <f>RssMarket("3856.T","買気配量6")</f>
        <v/>
      </c>
      <c r="AH3">
        <f>RssMarket("3856.T","買気配値7")</f>
        <v/>
      </c>
      <c r="AI3">
        <f>RssMarket("3856.T","買気配量7")</f>
        <v/>
      </c>
      <c r="AJ3">
        <f>RssMarket("3856.T","買気配値8")</f>
        <v/>
      </c>
      <c r="AK3">
        <f>RssMarket("3856.T","買気配量8")</f>
        <v/>
      </c>
      <c r="AL3">
        <f>RssMarket("3856.T","買気配値9")</f>
        <v/>
      </c>
      <c r="AM3">
        <f>RssMarket("3856.T","買気配量9")</f>
        <v/>
      </c>
      <c r="AN3">
        <f>RssMarket("3856.T","買気配値10")</f>
        <v/>
      </c>
      <c r="AO3">
        <f>RssMarket("3856.T","買気配量10")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2026-02-15T03:39:48Z</dcterms:created>
  <dcterms:modified xsi:type="dcterms:W3CDTF">2026-02-15T03:39:48Z</dcterms:modified>
</cp:coreProperties>
</file>